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ne Items" sheetId="2" state="visible" r:id="rId2"/>
    <sheet name="Excluded Notes" sheetId="3" state="visible" r:id="rId3"/>
    <sheet name="Sour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0.0000"/>
  </numFmts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b val="1"/>
      <sz val="14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CostLineItems" displayName="CostLineItems" ref="A1:I11" headerRowCount="1">
  <autoFilter ref="A1:I11"/>
  <tableColumns count="9">
    <tableColumn id="1" name="Resource"/>
    <tableColumn id="2" name="Config"/>
    <tableColumn id="3" name="Unit price (USD)"/>
    <tableColumn id="4" name="Billing unit"/>
    <tableColumn id="5" name="Qty low"/>
    <tableColumn id="6" name="Qty high"/>
    <tableColumn id="7" name="Monthly cost low"/>
    <tableColumn id="8" name="Monthly cost high"/>
    <tableColumn id="9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aws.amazon.com/ec2/pricing/on-demand/" TargetMode="External" Id="rId1" /><Relationship Type="http://schemas.openxmlformats.org/officeDocument/2006/relationships/hyperlink" Target="https://aws.amazon.com/rds/postgresql/pricing/" TargetMode="External" Id="rId2" /><Relationship Type="http://schemas.openxmlformats.org/officeDocument/2006/relationships/hyperlink" Target="https://aws.amazon.com/elasticloadbalancing/pricing/" TargetMode="External" Id="rId3" /><Relationship Type="http://schemas.openxmlformats.org/officeDocument/2006/relationships/hyperlink" Target="https://aws.amazon.com/privatelink/pricing/" TargetMode="External" Id="rId4" /><Relationship Type="http://schemas.openxmlformats.org/officeDocument/2006/relationships/hyperlink" Target="https://aws.amazon.com/vpc/pricing/" TargetMode="External" Id="rId5" /><Relationship Type="http://schemas.openxmlformats.org/officeDocument/2006/relationships/hyperlink" Target="https://aws.amazon.com/ebs/pricing/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8" customWidth="1" min="3" max="3"/>
    <col width="18" customWidth="1" min="4" max="4"/>
  </cols>
  <sheetData>
    <row r="1">
      <c r="A1" s="1" t="inlineStr">
        <is>
          <t>TaxTrack Infra Cost Estimate</t>
        </is>
      </c>
    </row>
    <row r="2">
      <c r="A2" s="2" t="n"/>
      <c r="B2" s="2" t="n"/>
      <c r="C2" s="2" t="n"/>
      <c r="D2" s="2" t="n"/>
    </row>
    <row r="3">
      <c r="A3" s="3" t="inlineStr">
        <is>
          <t>Generated on</t>
        </is>
      </c>
      <c r="B3" t="inlineStr">
        <is>
          <t>2026-04-15</t>
        </is>
      </c>
    </row>
    <row r="4">
      <c r="A4" s="3" t="inlineStr">
        <is>
          <t>Deployed stage</t>
        </is>
      </c>
      <c r="B4" t="inlineStr">
        <is>
          <t>dev</t>
        </is>
      </c>
    </row>
    <row r="5">
      <c r="A5" s="3" t="inlineStr">
        <is>
          <t>Infra profile</t>
        </is>
      </c>
      <c r="B5" t="inlineStr">
        <is>
          <t>full</t>
        </is>
      </c>
    </row>
    <row r="6">
      <c r="A6" s="3" t="inlineStr">
        <is>
          <t>AWS region</t>
        </is>
      </c>
      <c r="B6" t="inlineStr">
        <is>
          <t>ap-southeast-1</t>
        </is>
      </c>
    </row>
    <row r="7">
      <c r="A7" s="3" t="inlineStr">
        <is>
          <t>Monthly hours assumption</t>
        </is>
      </c>
      <c r="B7" t="n">
        <v>730</v>
      </c>
    </row>
    <row r="8"/>
    <row r="9">
      <c r="A9" s="3" t="inlineStr">
        <is>
          <t>Fixed monthly baseline (low)</t>
        </is>
      </c>
      <c r="B9" s="4">
        <f>SUM('Line Items'!H2:H11)</f>
        <v/>
      </c>
    </row>
    <row r="10">
      <c r="A10" s="3" t="inlineStr">
        <is>
          <t>Fixed monthly baseline (high)</t>
        </is>
      </c>
      <c r="B10" s="4">
        <f>SUM('Line Items'!I2:I11)</f>
        <v/>
      </c>
    </row>
    <row r="11">
      <c r="A11" s="3" t="inlineStr">
        <is>
          <t>Planning budget</t>
        </is>
      </c>
      <c r="B11" t="inlineStr">
        <is>
          <t>$340-$350 / month</t>
        </is>
      </c>
    </row>
    <row r="12">
      <c r="A12" s="3" t="inlineStr">
        <is>
          <t>Scope covered</t>
        </is>
      </c>
      <c r="B12" t="inlineStr">
        <is>
          <t>Fixed AWS baseline only; variable usage excluded</t>
        </is>
      </c>
    </row>
    <row r="13"/>
    <row r="14">
      <c r="A14" s="3" t="inlineStr">
        <is>
          <t>Notes</t>
        </is>
      </c>
    </row>
    <row r="15">
      <c r="A15" s="5" t="inlineStr">
        <is>
          <t>Low vs high only changes the public IPv4 assumption (3 vs 5 billed addresses).</t>
        </is>
      </c>
    </row>
    <row r="16">
      <c r="A16" s="5" t="inlineStr">
        <is>
          <t>CloudFront, S3, Lambda SSR, SQS, and third-party AI/API charges are excluded.</t>
        </is>
      </c>
    </row>
    <row r="17">
      <c r="A17" s="5" t="inlineStr">
        <is>
          <t>EC2 root volumes that are not explicitly sized in code may add about $2-$3/month.</t>
        </is>
      </c>
    </row>
  </sheetData>
  <mergeCells count="3">
    <mergeCell ref="A15:D15"/>
    <mergeCell ref="A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8" customWidth="1" min="3" max="3"/>
    <col width="14" customWidth="1" min="4" max="4"/>
    <col width="10" customWidth="1" min="5" max="5"/>
    <col width="10" customWidth="1" min="6" max="6"/>
    <col width="16" customWidth="1" min="7" max="7"/>
    <col width="16" customWidth="1" min="8" max="8"/>
    <col width="52" customWidth="1" min="9" max="9"/>
  </cols>
  <sheetData>
    <row r="1">
      <c r="A1" s="6" t="inlineStr">
        <is>
          <t>Resource</t>
        </is>
      </c>
      <c r="B1" s="6" t="inlineStr">
        <is>
          <t>Config</t>
        </is>
      </c>
      <c r="C1" s="6" t="inlineStr">
        <is>
          <t>Unit price (USD)</t>
        </is>
      </c>
      <c r="D1" s="6" t="inlineStr">
        <is>
          <t>Billing unit</t>
        </is>
      </c>
      <c r="E1" s="6" t="inlineStr">
        <is>
          <t>Qty low</t>
        </is>
      </c>
      <c r="F1" s="6" t="inlineStr">
        <is>
          <t>Qty high</t>
        </is>
      </c>
      <c r="G1" s="6" t="inlineStr">
        <is>
          <t>Monthly cost low</t>
        </is>
      </c>
      <c r="H1" s="6" t="inlineStr">
        <is>
          <t>Monthly cost high</t>
        </is>
      </c>
      <c r="I1" s="6" t="inlineStr">
        <is>
          <t>Notes</t>
        </is>
      </c>
    </row>
    <row r="2">
      <c r="A2" s="7" t="inlineStr">
        <is>
          <t>RDS PostgreSQL</t>
        </is>
      </c>
      <c r="B2" s="7" t="inlineStr">
        <is>
          <t>db.t4g.micro</t>
        </is>
      </c>
      <c r="C2" s="8" t="n">
        <v>0.025</v>
      </c>
      <c r="D2" s="7" t="inlineStr">
        <is>
          <t>hour</t>
        </is>
      </c>
      <c r="E2" s="9" t="n">
        <v>1</v>
      </c>
      <c r="F2" s="9" t="n">
        <v>1</v>
      </c>
      <c r="G2" s="10">
        <f>C2*E2*Summary!$B$7</f>
        <v/>
      </c>
      <c r="H2" s="10">
        <f>C2*F2*Summary!$B$7</f>
        <v/>
      </c>
      <c r="I2" s="11" t="inlineStr">
        <is>
          <t>Single-AZ PostgreSQL instance from SST Postgres config</t>
        </is>
      </c>
    </row>
    <row r="3">
      <c r="A3" s="7" t="inlineStr">
        <is>
          <t>RDS storage</t>
        </is>
      </c>
      <c r="B3" s="7" t="inlineStr">
        <is>
          <t>20 GB gp3</t>
        </is>
      </c>
      <c r="C3" s="8" t="n">
        <v>0.138</v>
      </c>
      <c r="D3" s="7" t="inlineStr">
        <is>
          <t>GB-month</t>
        </is>
      </c>
      <c r="E3" s="9" t="n">
        <v>20</v>
      </c>
      <c r="F3" s="9" t="n">
        <v>20</v>
      </c>
      <c r="G3" s="10">
        <f>C3*E3</f>
        <v/>
      </c>
      <c r="H3" s="10">
        <f>C3*F3</f>
        <v/>
      </c>
      <c r="I3" s="11" t="inlineStr">
        <is>
          <t>20 GB provisioned storage</t>
        </is>
      </c>
    </row>
    <row r="4">
      <c r="A4" s="7" t="inlineStr">
        <is>
          <t>Worker EC2</t>
        </is>
      </c>
      <c r="B4" s="7" t="inlineStr">
        <is>
          <t>t3.medium</t>
        </is>
      </c>
      <c r="C4" s="8" t="n">
        <v>0.0528</v>
      </c>
      <c r="D4" s="7" t="inlineStr">
        <is>
          <t>hour</t>
        </is>
      </c>
      <c r="E4" s="9" t="n">
        <v>1</v>
      </c>
      <c r="F4" s="9" t="n">
        <v>1</v>
      </c>
      <c r="G4" s="10">
        <f>C4*E4*Summary!$B$7</f>
        <v/>
      </c>
      <c r="H4" s="10">
        <f>C4*F4*Summary!$B$7</f>
        <v/>
      </c>
      <c r="I4" s="11" t="inlineStr">
        <is>
          <t>Async worker instance</t>
        </is>
      </c>
    </row>
    <row r="5">
      <c r="A5" s="7" t="inlineStr">
        <is>
          <t>ElectricSQL EC2</t>
        </is>
      </c>
      <c r="B5" s="7" t="inlineStr">
        <is>
          <t>t3.small</t>
        </is>
      </c>
      <c r="C5" s="8" t="n">
        <v>0.0264</v>
      </c>
      <c r="D5" s="7" t="inlineStr">
        <is>
          <t>hour</t>
        </is>
      </c>
      <c r="E5" s="9" t="n">
        <v>1</v>
      </c>
      <c r="F5" s="9" t="n">
        <v>1</v>
      </c>
      <c r="G5" s="10">
        <f>C5*E5*Summary!$B$7</f>
        <v/>
      </c>
      <c r="H5" s="10">
        <f>C5*F5*Summary!$B$7</f>
        <v/>
      </c>
      <c r="I5" s="11" t="inlineStr">
        <is>
          <t>ElectricSQL host instance</t>
        </is>
      </c>
    </row>
    <row r="6">
      <c r="A6" s="7" t="inlineStr">
        <is>
          <t>ElectricSQL ALB</t>
        </is>
      </c>
      <c r="B6" s="7" t="inlineStr">
        <is>
          <t>public ALB</t>
        </is>
      </c>
      <c r="C6" s="8" t="n">
        <v>0.0252</v>
      </c>
      <c r="D6" s="7" t="inlineStr">
        <is>
          <t>hour</t>
        </is>
      </c>
      <c r="E6" s="9" t="n">
        <v>1</v>
      </c>
      <c r="F6" s="9" t="n">
        <v>1</v>
      </c>
      <c r="G6" s="10">
        <f>C6*E6*Summary!$B$7</f>
        <v/>
      </c>
      <c r="H6" s="10">
        <f>C6*F6*Summary!$B$7</f>
        <v/>
      </c>
      <c r="I6" s="11" t="inlineStr">
        <is>
          <t>ALB hourly charge only; assumes negligible LCU usage</t>
        </is>
      </c>
    </row>
    <row r="7">
      <c r="A7" s="7" t="inlineStr">
        <is>
          <t>Langfuse EC2</t>
        </is>
      </c>
      <c r="B7" s="7" t="inlineStr">
        <is>
          <t>t3.xlarge</t>
        </is>
      </c>
      <c r="C7" s="8" t="n">
        <v>0.2112</v>
      </c>
      <c r="D7" s="7" t="inlineStr">
        <is>
          <t>hour</t>
        </is>
      </c>
      <c r="E7" s="9" t="n">
        <v>1</v>
      </c>
      <c r="F7" s="9" t="n">
        <v>1</v>
      </c>
      <c r="G7" s="10">
        <f>C7*E7*Summary!$B$7</f>
        <v/>
      </c>
      <c r="H7" s="10">
        <f>C7*F7*Summary!$B$7</f>
        <v/>
      </c>
      <c r="I7" s="11" t="inlineStr">
        <is>
          <t>Langfuse host instance</t>
        </is>
      </c>
    </row>
    <row r="8">
      <c r="A8" s="7" t="inlineStr">
        <is>
          <t>Langfuse EBS</t>
        </is>
      </c>
      <c r="B8" s="7" t="inlineStr">
        <is>
          <t>100 GB gp3</t>
        </is>
      </c>
      <c r="C8" s="8" t="n">
        <v>0.096</v>
      </c>
      <c r="D8" s="7" t="inlineStr">
        <is>
          <t>GB-month</t>
        </is>
      </c>
      <c r="E8" s="9" t="n">
        <v>100</v>
      </c>
      <c r="F8" s="9" t="n">
        <v>100</v>
      </c>
      <c r="G8" s="10">
        <f>C8*E8</f>
        <v/>
      </c>
      <c r="H8" s="10">
        <f>C8*F8</f>
        <v/>
      </c>
      <c r="I8" s="11" t="inlineStr">
        <is>
          <t>Explicit root block device in code</t>
        </is>
      </c>
    </row>
    <row r="9">
      <c r="A9" s="7" t="inlineStr">
        <is>
          <t>NAT instance</t>
        </is>
      </c>
      <c r="B9" s="7" t="inlineStr">
        <is>
          <t>t3.micro</t>
        </is>
      </c>
      <c r="C9" s="8" t="n">
        <v>0.0132</v>
      </c>
      <c r="D9" s="7" t="inlineStr">
        <is>
          <t>hour</t>
        </is>
      </c>
      <c r="E9" s="9" t="n">
        <v>1</v>
      </c>
      <c r="F9" s="9" t="n">
        <v>1</v>
      </c>
      <c r="G9" s="10">
        <f>C9*E9*Summary!$B$7</f>
        <v/>
      </c>
      <c r="H9" s="10">
        <f>C9*F9*Summary!$B$7</f>
        <v/>
      </c>
      <c r="I9" s="11" t="inlineStr">
        <is>
          <t>Used in full/app scopes for private subnet egress</t>
        </is>
      </c>
    </row>
    <row r="10">
      <c r="A10" s="7" t="inlineStr">
        <is>
          <t>SSM interface endpoints</t>
        </is>
      </c>
      <c r="B10" s="7" t="inlineStr">
        <is>
          <t>6 endpoints total</t>
        </is>
      </c>
      <c r="C10" s="8" t="n">
        <v>0.013</v>
      </c>
      <c r="D10" s="7" t="inlineStr">
        <is>
          <t>hour</t>
        </is>
      </c>
      <c r="E10" s="9" t="n">
        <v>6</v>
      </c>
      <c r="F10" s="9" t="n">
        <v>6</v>
      </c>
      <c r="G10" s="10">
        <f>C10*E10*Summary!$B$7</f>
        <v/>
      </c>
      <c r="H10" s="10">
        <f>C10*F10*Summary!$B$7</f>
        <v/>
      </c>
      <c r="I10" s="11" t="inlineStr">
        <is>
          <t>3 services x 2 AZs: ssm, ssmmessages, ec2messages</t>
        </is>
      </c>
    </row>
    <row r="11">
      <c r="A11" s="7" t="inlineStr">
        <is>
          <t>Public IPv4 addresses</t>
        </is>
      </c>
      <c r="B11" s="7" t="inlineStr">
        <is>
          <t>3-5 addresses</t>
        </is>
      </c>
      <c r="C11" s="8" t="n">
        <v>0.005</v>
      </c>
      <c r="D11" s="7" t="inlineStr">
        <is>
          <t>hour</t>
        </is>
      </c>
      <c r="E11" s="9" t="n">
        <v>3</v>
      </c>
      <c r="F11" s="9" t="n">
        <v>5</v>
      </c>
      <c r="G11" s="10">
        <f>C11*E11*Summary!$B$7</f>
        <v/>
      </c>
      <c r="H11" s="10">
        <f>C11*F11*Summary!$B$7</f>
        <v/>
      </c>
      <c r="I11" s="11" t="inlineStr">
        <is>
          <t>Low=3, High=5 billed public IPv4 addresses</t>
        </is>
      </c>
    </row>
    <row r="12">
      <c r="A12" s="7" t="inlineStr">
        <is>
          <t>CloudWatch alarm</t>
        </is>
      </c>
      <c r="B12" s="7" t="inlineStr">
        <is>
          <t>1 standard alarm</t>
        </is>
      </c>
      <c r="C12" s="8" t="n">
        <v>0.1</v>
      </c>
      <c r="D12" s="7" t="inlineStr">
        <is>
          <t>month</t>
        </is>
      </c>
      <c r="E12" s="9" t="n">
        <v>1</v>
      </c>
      <c r="F12" s="9" t="n">
        <v>1</v>
      </c>
      <c r="G12" s="10">
        <f>C12*E12</f>
        <v/>
      </c>
      <c r="H12" s="10">
        <f>C12*F12</f>
        <v/>
      </c>
      <c r="I12" s="11" t="inlineStr">
        <is>
          <t>Langfuse EC2 status alarm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90" customWidth="1" min="3" max="3"/>
  </cols>
  <sheetData>
    <row r="1">
      <c r="A1" s="12" t="inlineStr">
        <is>
          <t>Excluded or Variable Charges</t>
        </is>
      </c>
    </row>
    <row r="2"/>
    <row r="3">
      <c r="A3" s="6" t="inlineStr">
        <is>
          <t>Item</t>
        </is>
      </c>
      <c r="B3" s="6" t="inlineStr">
        <is>
          <t>Included in workbook?</t>
        </is>
      </c>
      <c r="C3" s="6" t="inlineStr">
        <is>
          <t>Reason / treatment</t>
        </is>
      </c>
    </row>
    <row r="4">
      <c r="A4" s="11" t="inlineStr">
        <is>
          <t>CloudFront</t>
        </is>
      </c>
      <c r="B4" s="11" t="inlineStr">
        <is>
          <t>No</t>
        </is>
      </c>
      <c r="C4" s="11" t="inlineStr">
        <is>
          <t>Usage-based. Two distributions exist in the deployed stack, but transfer/request volume is not defined by Pulumi.</t>
        </is>
      </c>
    </row>
    <row r="5">
      <c r="A5" s="11" t="inlineStr">
        <is>
          <t>S3</t>
        </is>
      </c>
      <c r="B5" s="11" t="inlineStr">
        <is>
          <t>No</t>
        </is>
      </c>
      <c r="C5" s="11" t="inlineStr">
        <is>
          <t>Buckets are provisioned, but storage volume, PUT/GET counts, and transfer are workload dependent.</t>
        </is>
      </c>
    </row>
    <row r="6">
      <c r="A6" s="11" t="inlineStr">
        <is>
          <t>TanStack Start Lambda / SSR</t>
        </is>
      </c>
      <c r="B6" s="11" t="inlineStr">
        <is>
          <t>No</t>
        </is>
      </c>
      <c r="C6" s="11" t="inlineStr">
        <is>
          <t>Invocation and duration depend on real web traffic.</t>
        </is>
      </c>
    </row>
    <row r="7">
      <c r="A7" s="11" t="inlineStr">
        <is>
          <t>SQS</t>
        </is>
      </c>
      <c r="B7" s="11" t="inlineStr">
        <is>
          <t>No</t>
        </is>
      </c>
      <c r="C7" s="11" t="inlineStr">
        <is>
          <t>Queue cost depends on request volume and polling behavior.</t>
        </is>
      </c>
    </row>
    <row r="8">
      <c r="A8" s="11" t="inlineStr">
        <is>
          <t>ALB LCU usage</t>
        </is>
      </c>
      <c r="B8" s="11" t="inlineStr">
        <is>
          <t>No</t>
        </is>
      </c>
      <c r="C8" s="11" t="inlineStr">
        <is>
          <t>Workbook includes ALB hourly baseline only and assumes negligible LCU usage.</t>
        </is>
      </c>
    </row>
    <row r="9">
      <c r="A9" s="11" t="inlineStr">
        <is>
          <t>Third-party AI / API costs</t>
        </is>
      </c>
      <c r="B9" s="11" t="inlineStr">
        <is>
          <t>No</t>
        </is>
      </c>
      <c r="C9" s="11" t="inlineStr">
        <is>
          <t>Azure OpenAI, Mistral, and Langfuse SaaS/API costs are not AWS infra charges in this stack.</t>
        </is>
      </c>
    </row>
    <row r="10">
      <c r="A10" s="11" t="inlineStr">
        <is>
          <t>Implicit EC2 root volumes</t>
        </is>
      </c>
      <c r="B10" s="11" t="inlineStr">
        <is>
          <t>No</t>
        </is>
      </c>
      <c r="C10" s="11" t="inlineStr">
        <is>
          <t>Not explicitly sized in code for every EC2 instance; expect about $2-$3/month extra in practice.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72" customWidth="1" min="2" max="2"/>
  </cols>
  <sheetData>
    <row r="1">
      <c r="A1" s="12" t="inlineStr">
        <is>
          <t>Pricing Sources</t>
        </is>
      </c>
    </row>
    <row r="2"/>
    <row r="3">
      <c r="A3" s="6" t="inlineStr">
        <is>
          <t>Service</t>
        </is>
      </c>
      <c r="B3" s="6" t="inlineStr">
        <is>
          <t>URL</t>
        </is>
      </c>
    </row>
    <row r="4">
      <c r="A4" s="7" t="inlineStr">
        <is>
          <t>Amazon EC2 On-Demand Pricing</t>
        </is>
      </c>
      <c r="B4" s="13" t="inlineStr">
        <is>
          <t>https://aws.amazon.com/ec2/pricing/on-demand/</t>
        </is>
      </c>
    </row>
    <row r="5">
      <c r="A5" s="7" t="inlineStr">
        <is>
          <t>Amazon RDS for PostgreSQL Pricing</t>
        </is>
      </c>
      <c r="B5" s="13" t="inlineStr">
        <is>
          <t>https://aws.amazon.com/rds/postgresql/pricing/</t>
        </is>
      </c>
    </row>
    <row r="6">
      <c r="A6" s="7" t="inlineStr">
        <is>
          <t>Elastic Load Balancing Pricing</t>
        </is>
      </c>
      <c r="B6" s="13" t="inlineStr">
        <is>
          <t>https://aws.amazon.com/elasticloadbalancing/pricing/</t>
        </is>
      </c>
    </row>
    <row r="7">
      <c r="A7" s="7" t="inlineStr">
        <is>
          <t>AWS PrivateLink Pricing</t>
        </is>
      </c>
      <c r="B7" s="13" t="inlineStr">
        <is>
          <t>https://aws.amazon.com/privatelink/pricing/</t>
        </is>
      </c>
    </row>
    <row r="8">
      <c r="A8" s="7" t="inlineStr">
        <is>
          <t>Amazon VPC Pricing</t>
        </is>
      </c>
      <c r="B8" s="13" t="inlineStr">
        <is>
          <t>https://aws.amazon.com/vpc/pricing/</t>
        </is>
      </c>
    </row>
    <row r="9">
      <c r="A9" s="7" t="inlineStr">
        <is>
          <t>Amazon EBS Pricing</t>
        </is>
      </c>
      <c r="B9" s="13" t="inlineStr">
        <is>
          <t>https://aws.amazon.com/ebs/pricing/</t>
        </is>
      </c>
    </row>
  </sheetData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2026-04-14T16:07:58Z</dcterms:created>
  <dcterms:modified xsi:type="dcterms:W3CDTF">2026-04-14T16:07:58Z</dcterms:modified>
</cp:coreProperties>
</file>